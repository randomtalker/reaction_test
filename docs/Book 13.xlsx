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EB2B911B-DF6A-40A7-8B31-36568FCDA3A2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factorio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3" i="1" l="1"/>
  <c r="M12" i="1"/>
  <c r="M11" i="1"/>
  <c r="M10" i="1"/>
  <c r="M9" i="1"/>
  <c r="M8" i="1"/>
  <c r="M7" i="1"/>
  <c r="M6" i="1"/>
  <c r="H7" i="1"/>
  <c r="I7" i="1"/>
  <c r="J7" i="1"/>
  <c r="K7" i="1"/>
  <c r="L7" i="1"/>
  <c r="H8" i="1"/>
  <c r="I8" i="1"/>
  <c r="J8" i="1"/>
  <c r="K8" i="1"/>
  <c r="L8" i="1"/>
  <c r="H9" i="1"/>
  <c r="I9" i="1"/>
  <c r="J9" i="1"/>
  <c r="K9" i="1"/>
  <c r="L9" i="1"/>
  <c r="H10" i="1"/>
  <c r="I10" i="1"/>
  <c r="J10" i="1"/>
  <c r="K10" i="1"/>
  <c r="L10" i="1"/>
  <c r="H11" i="1"/>
  <c r="I11" i="1"/>
  <c r="J11" i="1"/>
  <c r="K11" i="1"/>
  <c r="L11" i="1"/>
  <c r="H12" i="1"/>
  <c r="I12" i="1"/>
  <c r="J12" i="1"/>
  <c r="K12" i="1"/>
  <c r="L12" i="1"/>
  <c r="H13" i="1"/>
  <c r="I13" i="1"/>
  <c r="J13" i="1"/>
  <c r="K13" i="1"/>
  <c r="L13" i="1"/>
  <c r="L6" i="1"/>
  <c r="K6" i="1"/>
  <c r="J6" i="1"/>
  <c r="I6" i="1"/>
  <c r="H6" i="1"/>
</calcChain>
</file>

<file path=xl/sharedStrings.xml><?xml version="1.0" encoding="utf-8"?>
<sst xmlns="http://schemas.openxmlformats.org/spreadsheetml/2006/main" count="96" uniqueCount="62">
  <si>
    <t>열교환기</t>
  </si>
  <si>
    <t>원자로</t>
  </si>
  <si>
    <t>터빈</t>
  </si>
  <si>
    <t>펌프</t>
  </si>
  <si>
    <t>탱크</t>
  </si>
  <si>
    <t>필요수량</t>
  </si>
  <si>
    <t>강철판</t>
  </si>
  <si>
    <t>x</t>
  </si>
  <si>
    <t>구리판</t>
  </si>
  <si>
    <t>고급회로</t>
  </si>
  <si>
    <t>콘크리트</t>
  </si>
  <si>
    <t>파이프</t>
  </si>
  <si>
    <t>톱니바퀴</t>
  </si>
  <si>
    <t>철판</t>
  </si>
  <si>
    <t>엔진</t>
  </si>
  <si>
    <t>e</t>
  </si>
  <si>
    <t>account</t>
  </si>
  <si>
    <t>컬럼명</t>
  </si>
  <si>
    <t>자료형</t>
  </si>
  <si>
    <t>NULL</t>
  </si>
  <si>
    <t>키</t>
  </si>
  <si>
    <t>기본값</t>
  </si>
  <si>
    <t>제약조건</t>
  </si>
  <si>
    <t>설명</t>
  </si>
  <si>
    <t>id</t>
  </si>
  <si>
    <t>VARCHAR(16)</t>
  </si>
  <si>
    <t>N</t>
  </si>
  <si>
    <t>PK</t>
  </si>
  <si>
    <t>소문자,숫자만 허용 4자~16자</t>
  </si>
  <si>
    <t>password</t>
  </si>
  <si>
    <t>VARCHAR(60)</t>
  </si>
  <si>
    <t>솔트 더한뒤 해싱, bcrypt인지 쓸예정</t>
  </si>
  <si>
    <t>record</t>
  </si>
  <si>
    <t>record_id</t>
  </si>
  <si>
    <t>INTEGER</t>
  </si>
  <si>
    <t>IDENTITY</t>
  </si>
  <si>
    <t>1씩 늘어가며 자동으로 부여</t>
  </si>
  <si>
    <t>FK(account.id),UK</t>
  </si>
  <si>
    <t>best_record</t>
  </si>
  <si>
    <t>(100&lt;=, &lt;10000)</t>
  </si>
  <si>
    <t>반응시간 최단기록</t>
  </si>
  <si>
    <t>best_at</t>
  </si>
  <si>
    <t>TIMESTAMPTZ</t>
  </si>
  <si>
    <t>CURRENT_TIMESTAMP</t>
  </si>
  <si>
    <t>갱신시 현재시각으로 변경</t>
  </si>
  <si>
    <t>index</t>
  </si>
  <si>
    <t>인덱스명</t>
  </si>
  <si>
    <t>테이블</t>
  </si>
  <si>
    <t>컬럼</t>
  </si>
  <si>
    <t>유형</t>
  </si>
  <si>
    <t>용도</t>
  </si>
  <si>
    <t>account_pkey</t>
  </si>
  <si>
    <t>id ASC</t>
  </si>
  <si>
    <t>PK(자동)</t>
  </si>
  <si>
    <t>idx_record_main</t>
  </si>
  <si>
    <t>best_record ASC, best_at DESC, record_id DESC</t>
  </si>
  <si>
    <t>일반(수동)</t>
  </si>
  <si>
    <t>메인 순위, 반응시간 같을경우 최신순, 달성시간 같을경우 나중등록 순</t>
  </si>
  <si>
    <t>record_pkey</t>
  </si>
  <si>
    <t>record_id ASC</t>
  </si>
  <si>
    <t>record_id_key</t>
  </si>
  <si>
    <t>UNIQUE(자동)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</si>
</sst>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N17"/>
  <sheetViews>
    <sheetView workbookViewId="0">
      <selection activeCell="J15" sqref="J15"/>
    </sheetView>
  </sheetViews>
  <sheetFormatPr defaultRowHeight="16.5"/>
  <cols>
    <col min="2" max="2" width="9" customWidth="1"/>
    <col min="3" max="3" width="13" customWidth="1"/>
    <col min="4" max="6" width="9" customWidth="1"/>
    <col min="7" max="7" width="2.875" customWidth="1"/>
    <col min="8" max="12" width="9" customWidth="1"/>
  </cols>
  <sheetData>
    <row r="4" spans="1:14">
      <c r="B4" t="s">
        <v>0</v>
      </c>
      <c r="C4" t="s">
        <v>1</v>
      </c>
      <c r="D4" t="s">
        <v>2</v>
      </c>
      <c r="E4" t="s">
        <v>3</v>
      </c>
      <c r="F4" t="s">
        <v>4</v>
      </c>
      <c r="H4" t="s">
        <v>0</v>
      </c>
      <c r="I4" t="s">
        <v>1</v>
      </c>
      <c r="J4" t="s">
        <v>2</v>
      </c>
      <c r="K4" t="s">
        <v>3</v>
      </c>
      <c r="L4" t="s">
        <v>4</v>
      </c>
    </row>
    <row r="5" spans="1:14">
      <c r="A5" t="s">
        <v>5</v>
      </c>
      <c r="B5">
        <v>44</v>
      </c>
      <c r="C5">
        <v>2</v>
      </c>
      <c r="D5">
        <v>87</v>
      </c>
      <c r="E5">
        <v>48</v>
      </c>
      <c r="F5">
        <v>48</v>
      </c>
    </row>
    <row r="6" spans="1:14">
      <c r="A6" t="s">
        <v>6</v>
      </c>
      <c r="B6">
        <v>10</v>
      </c>
      <c r="C6">
        <v>500</v>
      </c>
      <c r="E6">
        <v>1</v>
      </c>
      <c r="F6">
        <v>5</v>
      </c>
      <c r="H6">
        <f>B6*$B$5</f>
        <v>440</v>
      </c>
      <c r="I6">
        <f>C6*$C$5</f>
        <v>1000</v>
      </c>
      <c r="J6">
        <f>D6*$D$5</f>
        <v>0</v>
      </c>
      <c r="K6">
        <f>E6*$E$5</f>
        <v>48</v>
      </c>
      <c r="L6">
        <f>F6*$F$5</f>
        <v>240</v>
      </c>
      <c r="M6">
        <f>SUM(H6:L6)</f>
        <v>1728</v>
      </c>
      <c r="N6" t="s">
        <v>7</v>
      </c>
    </row>
    <row r="7" spans="1:14">
      <c r="A7" t="s">
        <v>8</v>
      </c>
      <c r="B7">
        <v>100</v>
      </c>
      <c r="C7">
        <v>500</v>
      </c>
      <c r="D7">
        <v>50</v>
      </c>
      <c r="H7">
        <f t="shared" ref="H7:H13" si="0">B7*$B$5</f>
        <v>4400</v>
      </c>
      <c r="I7">
        <f t="shared" ref="I7:I13" si="1">C7*$C$5</f>
        <v>1000</v>
      </c>
      <c r="J7">
        <f t="shared" ref="J7:J13" si="2">D7*$D$5</f>
        <v>4350</v>
      </c>
      <c r="K7">
        <f t="shared" ref="K7:K13" si="3">E7*$E$5</f>
        <v>0</v>
      </c>
      <c r="L7">
        <f t="shared" ref="L7:L13" si="4">F7*$F$5</f>
        <v>0</v>
      </c>
      <c r="M7">
        <f t="shared" ref="M7:M13" si="5">SUM(H7:L7)</f>
        <v>9750</v>
      </c>
    </row>
    <row r="8" spans="1:14">
      <c r="A8" t="s">
        <v>9</v>
      </c>
      <c r="C8">
        <v>500</v>
      </c>
      <c r="H8">
        <f t="shared" si="0"/>
        <v>0</v>
      </c>
      <c r="I8">
        <f t="shared" si="1"/>
        <v>1000</v>
      </c>
      <c r="J8">
        <f t="shared" si="2"/>
        <v>0</v>
      </c>
      <c r="K8">
        <f t="shared" si="3"/>
        <v>0</v>
      </c>
      <c r="L8">
        <f t="shared" si="4"/>
        <v>0</v>
      </c>
      <c r="M8">
        <f t="shared" si="5"/>
        <v>1000</v>
      </c>
      <c r="N8" t="s">
        <v>7</v>
      </c>
    </row>
    <row r="9" spans="1:14">
      <c r="A9" t="s">
        <v>10</v>
      </c>
      <c r="C9">
        <v>500</v>
      </c>
      <c r="H9">
        <f t="shared" si="0"/>
        <v>0</v>
      </c>
      <c r="I9">
        <f t="shared" si="1"/>
        <v>1000</v>
      </c>
      <c r="J9">
        <f t="shared" si="2"/>
        <v>0</v>
      </c>
      <c r="K9">
        <f t="shared" si="3"/>
        <v>0</v>
      </c>
      <c r="L9">
        <f t="shared" si="4"/>
        <v>0</v>
      </c>
      <c r="M9">
        <f t="shared" si="5"/>
        <v>1000</v>
      </c>
      <c r="N9" t="s">
        <v>7</v>
      </c>
    </row>
    <row r="10" spans="1:14">
      <c r="A10" t="s">
        <v>11</v>
      </c>
      <c r="B10">
        <v>10</v>
      </c>
      <c r="D10">
        <v>20</v>
      </c>
      <c r="E10">
        <v>1</v>
      </c>
      <c r="H10">
        <f t="shared" si="0"/>
        <v>440</v>
      </c>
      <c r="I10">
        <f t="shared" si="1"/>
        <v>0</v>
      </c>
      <c r="J10">
        <f t="shared" si="2"/>
        <v>1740</v>
      </c>
      <c r="K10">
        <f t="shared" si="3"/>
        <v>48</v>
      </c>
      <c r="L10">
        <f t="shared" si="4"/>
        <v>0</v>
      </c>
      <c r="M10">
        <f t="shared" si="5"/>
        <v>2228</v>
      </c>
      <c r="N10" t="s">
        <v>7</v>
      </c>
    </row>
    <row r="11" spans="1:14">
      <c r="A11" t="s">
        <v>12</v>
      </c>
      <c r="D11">
        <v>50</v>
      </c>
      <c r="H11">
        <f t="shared" si="0"/>
        <v>0</v>
      </c>
      <c r="I11">
        <f t="shared" si="1"/>
        <v>0</v>
      </c>
      <c r="J11">
        <f t="shared" si="2"/>
        <v>4350</v>
      </c>
      <c r="K11">
        <f t="shared" si="3"/>
        <v>0</v>
      </c>
      <c r="L11">
        <f t="shared" si="4"/>
        <v>0</v>
      </c>
      <c r="M11">
        <f t="shared" si="5"/>
        <v>4350</v>
      </c>
      <c r="N11" t="s">
        <v>7</v>
      </c>
    </row>
    <row r="12" spans="1:14">
      <c r="A12" t="s">
        <v>13</v>
      </c>
      <c r="F12">
        <v>20</v>
      </c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960</v>
      </c>
      <c r="M12">
        <f t="shared" si="5"/>
        <v>960</v>
      </c>
      <c r="N12" t="s">
        <v>7</v>
      </c>
    </row>
    <row r="13" spans="1:14">
      <c r="A13" t="s">
        <v>14</v>
      </c>
      <c r="E13">
        <v>1</v>
      </c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48</v>
      </c>
      <c r="L13">
        <f t="shared" si="4"/>
        <v>0</v>
      </c>
      <c r="M13">
        <f t="shared" si="5"/>
        <v>48</v>
      </c>
      <c r="N13" t="s">
        <v>7</v>
      </c>
    </row>
    <row r="15" spans="1:14">
      <c r="J15" t="s">
        <v>15</v>
      </c>
    </row>
    <row r="17" spans="5:5">
      <c r="E1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9713-D571-483E-9B2B-02BEABC38E75}">
  <dimension ref="B2:H22"/>
  <sheetViews>
    <sheetView tabSelected="1" workbookViewId="0">
      <selection activeCell="B22" sqref="B22"/>
    </sheetView>
  </sheetViews>
  <sheetFormatPr defaultRowHeight="16.5"/>
  <cols>
    <col min="2" max="2" width="14.625" customWidth="1"/>
    <col min="3" max="3" width="14" customWidth="1"/>
    <col min="4" max="4" width="14.125" bestFit="1" customWidth="1"/>
    <col min="5" max="5" width="17" bestFit="1" customWidth="1"/>
    <col min="6" max="6" width="14.25" customWidth="1"/>
    <col min="7" max="7" width="26.875" customWidth="1"/>
  </cols>
  <sheetData>
    <row r="2" spans="2:8">
      <c r="B2" t="s">
        <v>16</v>
      </c>
    </row>
    <row r="3" spans="2:8"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2:8">
      <c r="B4" t="s">
        <v>24</v>
      </c>
      <c r="C4" t="s">
        <v>25</v>
      </c>
      <c r="D4" t="s">
        <v>26</v>
      </c>
      <c r="E4" t="s">
        <v>27</v>
      </c>
      <c r="G4" t="s">
        <v>28</v>
      </c>
    </row>
    <row r="5" spans="2:8">
      <c r="B5" t="s">
        <v>29</v>
      </c>
      <c r="C5" t="s">
        <v>30</v>
      </c>
      <c r="D5" t="s">
        <v>26</v>
      </c>
      <c r="H5" t="s">
        <v>31</v>
      </c>
    </row>
    <row r="10" spans="2:8">
      <c r="B10" t="s">
        <v>32</v>
      </c>
    </row>
    <row r="11" spans="2:8"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</row>
    <row r="12" spans="2:8">
      <c r="B12" t="s">
        <v>33</v>
      </c>
      <c r="C12" t="s">
        <v>34</v>
      </c>
      <c r="D12" t="s">
        <v>26</v>
      </c>
      <c r="E12" t="s">
        <v>27</v>
      </c>
      <c r="F12" t="s">
        <v>35</v>
      </c>
      <c r="H12" t="s">
        <v>36</v>
      </c>
    </row>
    <row r="13" spans="2:8">
      <c r="B13" t="s">
        <v>24</v>
      </c>
      <c r="C13" t="s">
        <v>25</v>
      </c>
      <c r="D13" t="s">
        <v>26</v>
      </c>
      <c r="E13" t="s">
        <v>37</v>
      </c>
    </row>
    <row r="14" spans="2:8">
      <c r="B14" t="s">
        <v>38</v>
      </c>
      <c r="C14" t="s">
        <v>34</v>
      </c>
      <c r="D14" t="s">
        <v>26</v>
      </c>
      <c r="G14" t="s">
        <v>39</v>
      </c>
      <c r="H14" t="s">
        <v>40</v>
      </c>
    </row>
    <row r="15" spans="2:8">
      <c r="B15" t="s">
        <v>41</v>
      </c>
      <c r="C15" t="s">
        <v>42</v>
      </c>
      <c r="D15" t="s">
        <v>26</v>
      </c>
      <c r="F15" t="s">
        <v>43</v>
      </c>
      <c r="H15" t="s">
        <v>44</v>
      </c>
    </row>
    <row r="17" spans="2:7">
      <c r="B17" t="s">
        <v>45</v>
      </c>
    </row>
    <row r="18" spans="2:7">
      <c r="B18" t="s">
        <v>46</v>
      </c>
      <c r="C18" t="s">
        <v>47</v>
      </c>
      <c r="D18" t="s">
        <v>48</v>
      </c>
      <c r="F18" t="s">
        <v>49</v>
      </c>
      <c r="G18" t="s">
        <v>50</v>
      </c>
    </row>
    <row r="19" spans="2:7">
      <c r="B19" t="s">
        <v>51</v>
      </c>
      <c r="C19" t="s">
        <v>16</v>
      </c>
      <c r="D19" t="s">
        <v>52</v>
      </c>
      <c r="F19" t="s">
        <v>53</v>
      </c>
    </row>
    <row r="20" spans="2:7">
      <c r="B20" t="s">
        <v>54</v>
      </c>
      <c r="C20" t="s">
        <v>32</v>
      </c>
      <c r="D20" t="s">
        <v>55</v>
      </c>
      <c r="F20" t="s">
        <v>56</v>
      </c>
      <c r="G20" t="s">
        <v>57</v>
      </c>
    </row>
    <row r="21" spans="2:7">
      <c r="B21" t="s">
        <v>58</v>
      </c>
      <c r="C21" t="s">
        <v>32</v>
      </c>
      <c r="D21" t="s">
        <v>59</v>
      </c>
      <c r="F21" t="s">
        <v>53</v>
      </c>
    </row>
    <row r="22" spans="2:7">
      <c r="B22" t="s">
        <v>60</v>
      </c>
      <c r="C22" t="s">
        <v>32</v>
      </c>
      <c r="D22" t="s">
        <v>52</v>
      </c>
      <c r="F2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2026-08-07T11:53:32Z</dcterms:created>
  <dcterms:modified xsi:type="dcterms:W3CDTF">2026-10-07T12:05:49Z</dcterms:modified>
  <cp:category/>
  <cp:contentStatus/>
</cp:coreProperties>
</file>